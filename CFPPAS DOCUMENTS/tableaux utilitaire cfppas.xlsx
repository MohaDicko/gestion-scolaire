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usmanemamadou/Desktop/"/>
    </mc:Choice>
  </mc:AlternateContent>
  <xr:revisionPtr revIDLastSave="0" documentId="8_{5DF601E6-5D84-DB4B-AF25-5DD567B8C4D4}" xr6:coauthVersionLast="47" xr6:coauthVersionMax="47" xr10:uidLastSave="{00000000-0000-0000-0000-000000000000}"/>
  <bookViews>
    <workbookView xWindow="200" yWindow="500" windowWidth="18420" windowHeight="10240" xr2:uid="{8F604517-2B5B-0C4D-ACB6-5D412EACEA6F}"/>
  </bookViews>
  <sheets>
    <sheet name="Feuil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8" i="1" l="1"/>
  <c r="AF77" i="1"/>
  <c r="G68" i="1"/>
  <c r="G67" i="1"/>
  <c r="J59" i="1"/>
  <c r="I59" i="1"/>
  <c r="G59" i="1"/>
  <c r="K59" i="1" s="1"/>
  <c r="J58" i="1"/>
  <c r="I58" i="1"/>
  <c r="G58" i="1"/>
  <c r="J57" i="1"/>
  <c r="I57" i="1"/>
  <c r="G57" i="1"/>
  <c r="J56" i="1"/>
  <c r="I56" i="1"/>
  <c r="G56" i="1"/>
  <c r="K56" i="1" s="1"/>
  <c r="J55" i="1"/>
  <c r="I55" i="1"/>
  <c r="G55" i="1"/>
  <c r="J54" i="1"/>
  <c r="I54" i="1"/>
  <c r="G54" i="1"/>
  <c r="K54" i="1" s="1"/>
  <c r="J53" i="1"/>
  <c r="I53" i="1"/>
  <c r="G53" i="1"/>
  <c r="K53" i="1" s="1"/>
  <c r="D46" i="1"/>
  <c r="C46" i="1"/>
  <c r="E40" i="1"/>
  <c r="E41" i="1" s="1"/>
  <c r="E42" i="1" s="1"/>
  <c r="D33" i="1"/>
  <c r="C33" i="1"/>
  <c r="E28" i="1"/>
  <c r="E29" i="1" s="1"/>
  <c r="E30" i="1" s="1"/>
  <c r="D22" i="1"/>
  <c r="C22" i="1"/>
  <c r="E18" i="1"/>
  <c r="E19" i="1" s="1"/>
  <c r="J11" i="1"/>
  <c r="I11" i="1"/>
  <c r="G11" i="1"/>
  <c r="K11" i="1" s="1"/>
  <c r="J10" i="1"/>
  <c r="I10" i="1"/>
  <c r="G10" i="1"/>
  <c r="J9" i="1"/>
  <c r="I9" i="1"/>
  <c r="G9" i="1"/>
  <c r="K9" i="1" s="1"/>
  <c r="J8" i="1"/>
  <c r="I8" i="1"/>
  <c r="G8" i="1"/>
  <c r="J7" i="1"/>
  <c r="I7" i="1"/>
  <c r="G7" i="1"/>
  <c r="J6" i="1"/>
  <c r="I6" i="1"/>
  <c r="G6" i="1"/>
  <c r="K7" i="1" l="1"/>
  <c r="K58" i="1"/>
  <c r="K55" i="1"/>
  <c r="K6" i="1"/>
  <c r="K57" i="1"/>
  <c r="K10" i="1"/>
  <c r="K8" i="1"/>
</calcChain>
</file>

<file path=xl/sharedStrings.xml><?xml version="1.0" encoding="utf-8"?>
<sst xmlns="http://schemas.openxmlformats.org/spreadsheetml/2006/main" count="193" uniqueCount="96">
  <si>
    <t>RELEVE  NOMINATIF  DES  CLIENTS du 01er/10/2018 au 20/08/2019</t>
  </si>
  <si>
    <t>N°</t>
  </si>
  <si>
    <t>Noms des clients</t>
  </si>
  <si>
    <t>N° Matricule</t>
  </si>
  <si>
    <t>Classe</t>
  </si>
  <si>
    <t>Scol.</t>
  </si>
  <si>
    <t>Soldes d'ouverture</t>
  </si>
  <si>
    <t>Mouvements</t>
  </si>
  <si>
    <t>Soldes de clôture</t>
  </si>
  <si>
    <t>Observations</t>
  </si>
  <si>
    <t>d'ordre</t>
  </si>
  <si>
    <t>Coptes</t>
  </si>
  <si>
    <t>Débiteur</t>
  </si>
  <si>
    <t>Créditeur</t>
  </si>
  <si>
    <t>Débit</t>
  </si>
  <si>
    <t>Crédit</t>
  </si>
  <si>
    <t>411-00</t>
  </si>
  <si>
    <t>Clients - élèves étatiques</t>
  </si>
  <si>
    <t>411-114Bis²</t>
  </si>
  <si>
    <t>Client-élève Mahamane Almoustapha HAIDARA</t>
  </si>
  <si>
    <t>13CFPPAS114M14BIS²</t>
  </si>
  <si>
    <t xml:space="preserve">3ième Année </t>
  </si>
  <si>
    <t>4 Ans</t>
  </si>
  <si>
    <t>Abandon</t>
  </si>
  <si>
    <t>411-117</t>
  </si>
  <si>
    <t>Client-élève Issa AMADOU</t>
  </si>
  <si>
    <t>14CFPPAS117M20</t>
  </si>
  <si>
    <t>3 Ans</t>
  </si>
  <si>
    <t>Abandon 17/2018</t>
  </si>
  <si>
    <t>411-119</t>
  </si>
  <si>
    <t>Client-élève Aliou ABDOULAYE</t>
  </si>
  <si>
    <t>14CFPPAS119M23</t>
  </si>
  <si>
    <t xml:space="preserve">4ième Année </t>
  </si>
  <si>
    <t>Fin de cycle 17/2018</t>
  </si>
  <si>
    <t>411-119Bis²</t>
  </si>
  <si>
    <t>Client-élève Boubacar DIALLO</t>
  </si>
  <si>
    <t>14CFPPAS119M23BIS²</t>
  </si>
  <si>
    <t>Tuteur Abdoul Aziz SOULEYMANE Cel : 66 88 17 02</t>
  </si>
  <si>
    <t>421-10</t>
  </si>
  <si>
    <t>Personnel avances et acomptes - Mahamane G. Touré</t>
  </si>
  <si>
    <t>Dates</t>
  </si>
  <si>
    <t>Libellés</t>
  </si>
  <si>
    <t>Débits</t>
  </si>
  <si>
    <t>Crédits</t>
  </si>
  <si>
    <t>Solde</t>
  </si>
  <si>
    <t>débiteur</t>
  </si>
  <si>
    <t>Solde à nouveau</t>
  </si>
  <si>
    <t>Avance Accordé</t>
  </si>
  <si>
    <t>Reglement bon</t>
  </si>
  <si>
    <t>Totaux</t>
  </si>
  <si>
    <t>421-11</t>
  </si>
  <si>
    <t>Personnel avances et acomptes - Ali Oumar Maïga</t>
  </si>
  <si>
    <t>411-156</t>
  </si>
  <si>
    <t>Client - élève Zeinabou HAMMOU</t>
  </si>
  <si>
    <t>constatation frais d'étude 10/19</t>
  </si>
  <si>
    <t xml:space="preserve">encaissement frais d'étude </t>
  </si>
  <si>
    <t xml:space="preserve">RELEVE  NOMINATIF  DES  CLIENTS </t>
  </si>
  <si>
    <t xml:space="preserve"> </t>
  </si>
  <si>
    <r>
      <t>411-114</t>
    </r>
    <r>
      <rPr>
        <sz val="11"/>
        <color rgb="FFFF0000"/>
        <rFont val="Calibri Light"/>
        <family val="1"/>
        <scheme val="major"/>
      </rPr>
      <t>Bis²</t>
    </r>
  </si>
  <si>
    <r>
      <t>411-119</t>
    </r>
    <r>
      <rPr>
        <sz val="11"/>
        <color rgb="FFFF0000"/>
        <rFont val="Calibri Light"/>
        <family val="1"/>
        <scheme val="major"/>
      </rPr>
      <t>Bis²</t>
    </r>
  </si>
  <si>
    <t>5 Ans</t>
  </si>
  <si>
    <r>
      <t>411-121</t>
    </r>
    <r>
      <rPr>
        <sz val="11"/>
        <color rgb="FFFF0000"/>
        <rFont val="Calibri Light"/>
        <family val="1"/>
        <scheme val="major"/>
      </rPr>
      <t>Bis²</t>
    </r>
  </si>
  <si>
    <t>Client-élève Korka dite Yaborko DOLO</t>
  </si>
  <si>
    <t>15CFPPAS121F16BIS²</t>
  </si>
  <si>
    <t xml:space="preserve">ETAT DE PAIEMENT DES HONORAIRES DES PROFESSEURS VACATAIRES  </t>
  </si>
  <si>
    <t>Du 01 au 31 AOUT 2022</t>
  </si>
  <si>
    <t>Prénoms</t>
  </si>
  <si>
    <t>Matières Enseignées</t>
  </si>
  <si>
    <t>Total Heures</t>
  </si>
  <si>
    <t>P.U</t>
  </si>
  <si>
    <t xml:space="preserve">Montant </t>
  </si>
  <si>
    <t>Retenue</t>
  </si>
  <si>
    <t>Net à Payer</t>
  </si>
  <si>
    <t>Emargement</t>
  </si>
  <si>
    <t xml:space="preserve">Ousmane Alhassane </t>
  </si>
  <si>
    <t xml:space="preserve">T.P, Embouche 2ème modulaire  </t>
  </si>
  <si>
    <t xml:space="preserve">2èmé  Modulaire et 3ème et 4ème Classique </t>
  </si>
  <si>
    <t xml:space="preserve">Aminata Maiga </t>
  </si>
  <si>
    <t xml:space="preserve">Entomologie spéciale  </t>
  </si>
  <si>
    <t xml:space="preserve">4ème Classique </t>
  </si>
  <si>
    <t>CFP-PAS / GAO                                          POINTAGE DES HEURES DISPENSEES PAR LES PROFESSEURS</t>
  </si>
  <si>
    <t>MOIS DE AOUT  2022</t>
  </si>
  <si>
    <t>PROFESSEURS CHARGES</t>
  </si>
  <si>
    <t>Matières</t>
  </si>
  <si>
    <t xml:space="preserve">Classe </t>
  </si>
  <si>
    <t>L</t>
  </si>
  <si>
    <t>M</t>
  </si>
  <si>
    <t>J</t>
  </si>
  <si>
    <t>V</t>
  </si>
  <si>
    <t>S</t>
  </si>
  <si>
    <t xml:space="preserve">Total des </t>
  </si>
  <si>
    <t>HEURES TOTALES</t>
  </si>
  <si>
    <t>DE COURS (1ère Année TE)</t>
  </si>
  <si>
    <t>heures</t>
  </si>
  <si>
    <t>Prévues</t>
  </si>
  <si>
    <t>Perdues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</si>
</sst>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5" formatCode="_-* #,##0\ _€_-;\-* #,##0\ _€_-;_-* &quot;-&quot;??\ _€_-;_-@_-"/>
  </numFmts>
  <fonts count="3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9"/>
      <name val="Book Antiqua"/>
      <family val="1"/>
    </font>
    <font>
      <b/>
      <sz val="10"/>
      <name val="Book Antiqua"/>
      <family val="1"/>
    </font>
    <font>
      <b/>
      <sz val="12"/>
      <name val="Book Antiqua"/>
      <family val="1"/>
    </font>
    <font>
      <sz val="7"/>
      <name val="Book Antiqua"/>
      <family val="1"/>
    </font>
    <font>
      <sz val="9"/>
      <name val="Book Antiqua"/>
      <family val="1"/>
    </font>
    <font>
      <sz val="9"/>
      <name val="Arial"/>
      <family val="2"/>
    </font>
    <font>
      <sz val="9"/>
      <color rgb="FF00B0F0"/>
      <name val="Arial"/>
      <family val="2"/>
    </font>
    <font>
      <sz val="10"/>
      <name val="Arial"/>
      <family val="2"/>
    </font>
    <font>
      <sz val="9"/>
      <color indexed="12"/>
      <name val="Arial"/>
      <family val="2"/>
    </font>
    <font>
      <b/>
      <sz val="9"/>
      <name val="Arial"/>
      <family val="2"/>
    </font>
    <font>
      <b/>
      <sz val="12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9"/>
      <name val="Calibri Light"/>
      <family val="1"/>
      <scheme val="major"/>
    </font>
    <font>
      <sz val="11"/>
      <name val="Calibri Light"/>
      <family val="1"/>
      <scheme val="major"/>
    </font>
    <font>
      <sz val="9"/>
      <name val="Calibri Light"/>
      <family val="1"/>
      <scheme val="major"/>
    </font>
    <font>
      <sz val="9"/>
      <color rgb="FF00B0F0"/>
      <name val="Calibri Light"/>
      <family val="1"/>
      <scheme val="major"/>
    </font>
    <font>
      <sz val="11"/>
      <color rgb="FFFF0000"/>
      <name val="Calibri Light"/>
      <family val="1"/>
      <scheme val="major"/>
    </font>
    <font>
      <sz val="11"/>
      <color indexed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4"/>
      <name val="Miriam Fixed"/>
      <family val="3"/>
      <charset val="177"/>
    </font>
    <font>
      <sz val="11"/>
      <name val="Miriam Fixed"/>
      <family val="3"/>
      <charset val="177"/>
    </font>
    <font>
      <b/>
      <sz val="12"/>
      <name val="Miriam Fixed"/>
    </font>
    <font>
      <b/>
      <sz val="9"/>
      <name val="Miriam Fixed"/>
    </font>
    <font>
      <b/>
      <sz val="11"/>
      <name val="Miriam Fixed"/>
    </font>
    <font>
      <b/>
      <sz val="10"/>
      <name val="Arial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4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8" xfId="0" applyFont="1" applyBorder="1"/>
    <xf numFmtId="0" fontId="7" fillId="0" borderId="8" xfId="0" applyFont="1" applyBorder="1"/>
    <xf numFmtId="3" fontId="8" fillId="0" borderId="8" xfId="0" applyNumberFormat="1" applyFont="1" applyBorder="1"/>
    <xf numFmtId="0" fontId="9" fillId="0" borderId="8" xfId="0" applyFont="1" applyBorder="1"/>
    <xf numFmtId="0" fontId="10" fillId="0" borderId="8" xfId="0" applyFont="1" applyBorder="1"/>
    <xf numFmtId="0" fontId="8" fillId="0" borderId="8" xfId="0" applyFont="1" applyBorder="1" applyAlignment="1">
      <alignment wrapText="1"/>
    </xf>
    <xf numFmtId="3" fontId="9" fillId="0" borderId="8" xfId="0" applyNumberFormat="1" applyFont="1" applyBorder="1"/>
    <xf numFmtId="165" fontId="8" fillId="0" borderId="8" xfId="1" applyNumberFormat="1" applyFont="1" applyFill="1" applyBorder="1"/>
    <xf numFmtId="0" fontId="12" fillId="0" borderId="8" xfId="0" applyFont="1" applyBorder="1"/>
    <xf numFmtId="0" fontId="13" fillId="0" borderId="8" xfId="0" applyFont="1" applyBorder="1"/>
    <xf numFmtId="0" fontId="9" fillId="0" borderId="8" xfId="0" applyFont="1" applyBorder="1" applyAlignment="1">
      <alignment wrapText="1"/>
    </xf>
    <xf numFmtId="0" fontId="14" fillId="0" borderId="0" xfId="0" applyFont="1" applyAlignment="1">
      <alignment horizontal="right"/>
    </xf>
    <xf numFmtId="0" fontId="14" fillId="0" borderId="0" xfId="0" applyFont="1"/>
    <xf numFmtId="0" fontId="15" fillId="0" borderId="5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4" fontId="16" fillId="0" borderId="13" xfId="0" applyNumberFormat="1" applyFont="1" applyBorder="1"/>
    <xf numFmtId="0" fontId="16" fillId="0" borderId="0" xfId="0" applyFont="1"/>
    <xf numFmtId="3" fontId="16" fillId="0" borderId="5" xfId="0" applyNumberFormat="1" applyFont="1" applyBorder="1"/>
    <xf numFmtId="0" fontId="16" fillId="0" borderId="14" xfId="0" applyFont="1" applyBorder="1" applyAlignment="1">
      <alignment horizontal="left" vertical="center" wrapText="1"/>
    </xf>
    <xf numFmtId="3" fontId="16" fillId="0" borderId="13" xfId="0" applyNumberFormat="1" applyFont="1" applyBorder="1"/>
    <xf numFmtId="0" fontId="16" fillId="0" borderId="9" xfId="0" applyFont="1" applyBorder="1"/>
    <xf numFmtId="3" fontId="16" fillId="0" borderId="8" xfId="0" applyNumberFormat="1" applyFont="1" applyBorder="1"/>
    <xf numFmtId="3" fontId="16" fillId="0" borderId="6" xfId="0" applyNumberFormat="1" applyFont="1" applyBorder="1"/>
    <xf numFmtId="3" fontId="16" fillId="0" borderId="11" xfId="0" applyNumberFormat="1" applyFont="1" applyBorder="1"/>
    <xf numFmtId="3" fontId="16" fillId="0" borderId="0" xfId="0" applyNumberFormat="1" applyFont="1"/>
    <xf numFmtId="0" fontId="15" fillId="0" borderId="0" xfId="0" applyFont="1"/>
    <xf numFmtId="3" fontId="16" fillId="2" borderId="5" xfId="0" applyNumberFormat="1" applyFont="1" applyFill="1" applyBorder="1"/>
    <xf numFmtId="165" fontId="16" fillId="0" borderId="13" xfId="1" applyNumberFormat="1" applyFont="1" applyFill="1" applyBorder="1"/>
    <xf numFmtId="0" fontId="16" fillId="0" borderId="13" xfId="0" applyFont="1" applyBorder="1"/>
    <xf numFmtId="3" fontId="16" fillId="0" borderId="9" xfId="0" applyNumberFormat="1" applyFont="1" applyBorder="1"/>
    <xf numFmtId="0" fontId="16" fillId="0" borderId="15" xfId="0" applyFont="1" applyBorder="1" applyAlignment="1">
      <alignment horizontal="center"/>
    </xf>
    <xf numFmtId="3" fontId="16" fillId="2" borderId="11" xfId="0" applyNumberFormat="1" applyFont="1" applyFill="1" applyBorder="1"/>
    <xf numFmtId="0" fontId="16" fillId="0" borderId="0" xfId="0" applyFont="1" applyBorder="1"/>
    <xf numFmtId="0" fontId="15" fillId="0" borderId="0" xfId="0" applyFont="1" applyBorder="1" applyAlignment="1">
      <alignment horizontal="center"/>
    </xf>
    <xf numFmtId="3" fontId="16" fillId="0" borderId="0" xfId="0" applyNumberFormat="1" applyFont="1" applyBorder="1"/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8" xfId="0" applyFont="1" applyBorder="1"/>
    <xf numFmtId="0" fontId="20" fillId="0" borderId="8" xfId="0" applyFont="1" applyBorder="1"/>
    <xf numFmtId="3" fontId="19" fillId="0" borderId="8" xfId="0" applyNumberFormat="1" applyFont="1" applyBorder="1"/>
    <xf numFmtId="0" fontId="21" fillId="0" borderId="8" xfId="0" applyFont="1" applyBorder="1"/>
    <xf numFmtId="165" fontId="19" fillId="0" borderId="8" xfId="1" applyNumberFormat="1" applyFont="1" applyFill="1" applyBorder="1"/>
    <xf numFmtId="0" fontId="23" fillId="0" borderId="8" xfId="0" applyFont="1" applyBorder="1"/>
    <xf numFmtId="0" fontId="18" fillId="0" borderId="8" xfId="0" applyFont="1" applyBorder="1"/>
    <xf numFmtId="0" fontId="21" fillId="3" borderId="8" xfId="0" applyFont="1" applyFill="1" applyBorder="1"/>
    <xf numFmtId="0" fontId="24" fillId="0" borderId="8" xfId="0" applyFont="1" applyBorder="1"/>
    <xf numFmtId="0" fontId="25" fillId="0" borderId="1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26" fillId="0" borderId="0" xfId="0" applyFont="1"/>
    <xf numFmtId="0" fontId="25" fillId="0" borderId="18" xfId="2" applyFont="1" applyBorder="1" applyAlignment="1">
      <alignment horizontal="center" vertical="center"/>
    </xf>
    <xf numFmtId="0" fontId="27" fillId="4" borderId="8" xfId="2" applyFont="1" applyFill="1" applyBorder="1" applyAlignment="1">
      <alignment vertical="center"/>
    </xf>
    <xf numFmtId="0" fontId="27" fillId="4" borderId="8" xfId="2" applyFont="1" applyFill="1" applyBorder="1" applyAlignment="1">
      <alignment horizontal="center" vertical="center" wrapText="1"/>
    </xf>
    <xf numFmtId="0" fontId="28" fillId="4" borderId="8" xfId="2" applyFont="1" applyFill="1" applyBorder="1" applyAlignment="1">
      <alignment horizontal="center" vertical="center" wrapText="1"/>
    </xf>
    <xf numFmtId="3" fontId="27" fillId="4" borderId="8" xfId="2" applyNumberFormat="1" applyFont="1" applyFill="1" applyBorder="1" applyAlignment="1">
      <alignment vertical="center"/>
    </xf>
    <xf numFmtId="3" fontId="29" fillId="4" borderId="8" xfId="2" applyNumberFormat="1" applyFont="1" applyFill="1" applyBorder="1" applyAlignment="1">
      <alignment horizontal="center" vertical="center" wrapText="1"/>
    </xf>
    <xf numFmtId="0" fontId="30" fillId="5" borderId="19" xfId="0" applyFont="1" applyFill="1" applyBorder="1"/>
    <xf numFmtId="0" fontId="31" fillId="6" borderId="8" xfId="0" applyFont="1" applyFill="1" applyBorder="1" applyAlignment="1">
      <alignment vertical="center"/>
    </xf>
    <xf numFmtId="0" fontId="31" fillId="6" borderId="8" xfId="0" applyFont="1" applyFill="1" applyBorder="1" applyAlignment="1">
      <alignment vertical="center" wrapText="1"/>
    </xf>
    <xf numFmtId="0" fontId="31" fillId="7" borderId="8" xfId="0" applyFont="1" applyFill="1" applyBorder="1" applyAlignment="1">
      <alignment vertical="center" wrapText="1"/>
    </xf>
    <xf numFmtId="0" fontId="0" fillId="7" borderId="8" xfId="0" applyFill="1" applyBorder="1"/>
    <xf numFmtId="0" fontId="11" fillId="7" borderId="8" xfId="0" applyFont="1" applyFill="1" applyBorder="1"/>
    <xf numFmtId="0" fontId="31" fillId="6" borderId="6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center"/>
    </xf>
    <xf numFmtId="0" fontId="24" fillId="0" borderId="0" xfId="0" applyFont="1" applyBorder="1"/>
    <xf numFmtId="0" fontId="18" fillId="0" borderId="0" xfId="0" applyFont="1" applyBorder="1"/>
    <xf numFmtId="3" fontId="19" fillId="0" borderId="0" xfId="0" applyNumberFormat="1" applyFont="1" applyBorder="1"/>
    <xf numFmtId="0" fontId="19" fillId="0" borderId="0" xfId="0" applyFont="1" applyBorder="1"/>
    <xf numFmtId="165" fontId="19" fillId="0" borderId="0" xfId="1" applyNumberFormat="1" applyFont="1" applyFill="1" applyBorder="1"/>
    <xf numFmtId="0" fontId="20" fillId="0" borderId="0" xfId="0" applyFont="1" applyBorder="1"/>
    <xf numFmtId="0" fontId="30" fillId="0" borderId="0" xfId="0" applyFont="1"/>
    <xf numFmtId="0" fontId="30" fillId="8" borderId="1" xfId="0" applyFont="1" applyFill="1" applyBorder="1" applyAlignment="1">
      <alignment horizontal="center"/>
    </xf>
    <xf numFmtId="0" fontId="30" fillId="8" borderId="2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/>
    </xf>
    <xf numFmtId="0" fontId="30" fillId="5" borderId="20" xfId="0" applyFont="1" applyFill="1" applyBorder="1"/>
    <xf numFmtId="0" fontId="30" fillId="5" borderId="21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32" fillId="9" borderId="23" xfId="0" applyFont="1" applyFill="1" applyBorder="1" applyAlignment="1">
      <alignment horizontal="center" vertical="center"/>
    </xf>
    <xf numFmtId="0" fontId="30" fillId="7" borderId="9" xfId="0" applyFont="1" applyFill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0" fillId="7" borderId="9" xfId="0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0" fillId="5" borderId="24" xfId="0" applyFont="1" applyFill="1" applyBorder="1"/>
    <xf numFmtId="0" fontId="30" fillId="5" borderId="25" xfId="0" applyFont="1" applyFill="1" applyBorder="1" applyAlignment="1">
      <alignment horizontal="center"/>
    </xf>
    <xf numFmtId="0" fontId="30" fillId="5" borderId="26" xfId="0" applyFont="1" applyFill="1" applyBorder="1" applyAlignment="1">
      <alignment horizontal="center"/>
    </xf>
    <xf numFmtId="0" fontId="32" fillId="9" borderId="27" xfId="0" applyFont="1" applyFill="1" applyBorder="1" applyAlignment="1">
      <alignment horizontal="center" vertical="center"/>
    </xf>
    <xf numFmtId="0" fontId="30" fillId="7" borderId="28" xfId="0" applyFont="1" applyFill="1" applyBorder="1" applyAlignment="1">
      <alignment horizontal="center"/>
    </xf>
    <xf numFmtId="0" fontId="30" fillId="7" borderId="29" xfId="0" applyFont="1" applyFill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29" xfId="0" applyFont="1" applyBorder="1"/>
    <xf numFmtId="0" fontId="30" fillId="0" borderId="29" xfId="0" applyFont="1" applyBorder="1" applyAlignment="1">
      <alignment horizontal="center" vertical="center"/>
    </xf>
    <xf numFmtId="0" fontId="30" fillId="9" borderId="29" xfId="0" applyFont="1" applyFill="1" applyBorder="1"/>
    <xf numFmtId="0" fontId="30" fillId="9" borderId="8" xfId="0" applyFont="1" applyFill="1" applyBorder="1"/>
    <xf numFmtId="0" fontId="33" fillId="5" borderId="26" xfId="0" applyFont="1" applyFill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1" fillId="9" borderId="8" xfId="0" applyFont="1" applyFill="1" applyBorder="1" applyAlignment="1">
      <alignment vertical="center" wrapText="1"/>
    </xf>
    <xf numFmtId="0" fontId="11" fillId="5" borderId="8" xfId="0" applyFont="1" applyFill="1" applyBorder="1"/>
    <xf numFmtId="0" fontId="11" fillId="9" borderId="8" xfId="0" applyFont="1" applyFill="1" applyBorder="1"/>
    <xf numFmtId="0" fontId="30" fillId="5" borderId="30" xfId="0" applyFont="1" applyFill="1" applyBorder="1"/>
    <xf numFmtId="0" fontId="30" fillId="0" borderId="8" xfId="0" applyFont="1" applyBorder="1"/>
    <xf numFmtId="0" fontId="30" fillId="5" borderId="0" xfId="0" applyFont="1" applyFill="1" applyBorder="1"/>
    <xf numFmtId="0" fontId="31" fillId="6" borderId="0" xfId="0" applyFont="1" applyFill="1" applyBorder="1" applyAlignment="1">
      <alignment vertical="center"/>
    </xf>
    <xf numFmtId="0" fontId="31" fillId="6" borderId="0" xfId="0" applyFont="1" applyFill="1" applyBorder="1" applyAlignment="1">
      <alignment horizontal="left" vertical="center" wrapText="1"/>
    </xf>
    <xf numFmtId="0" fontId="31" fillId="7" borderId="0" xfId="0" applyFont="1" applyFill="1" applyBorder="1" applyAlignment="1">
      <alignment vertical="center" wrapText="1"/>
    </xf>
    <xf numFmtId="0" fontId="0" fillId="7" borderId="0" xfId="0" applyFill="1" applyBorder="1"/>
    <xf numFmtId="0" fontId="11" fillId="7" borderId="0" xfId="0" applyFont="1" applyFill="1" applyBorder="1"/>
  </cellXfs>
  <cellStyles count="3">
    <cellStyle name="Milliers" xfId="1" builtinId="3"/>
    <cellStyle name="Normal" xfId="0" builtinId="0"/>
    <cellStyle name="Normal 2 2" xfId="2" xr:uid="{3FF52966-AC6A-C24C-ACE2-8C81A069A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FPPAS/Compta%2021%20-%202022/Debiteurs%20divers%2021-2022.xlsx" TargetMode="External"/><Relationship Id="rId2" Type="http://schemas.openxmlformats.org/officeDocument/2006/relationships/externalLinkPath" Target="/Users/ousmanemamadou/CFPPAS/Compta%2021%20-%202022/Debiteurs%20divers%2021-2022.xlsx" TargetMode="External"/><Relationship Id="rId1" Type="http://schemas.openxmlformats.org/officeDocument/2006/relationships/externalLinkPath" Target="/Users/ousmanemamadou/CFPPAS/Compta%2021%20-%202022/Debiteurs%20divers%2021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s"/>
      <sheetName val="Rélévé Personnel"/>
      <sheetName val="Etud"/>
      <sheetName val="N. Réléé des Clients"/>
      <sheetName val="Feuil1"/>
      <sheetName val="Feuil2"/>
      <sheetName val="Feuil3"/>
      <sheetName val="Feuil4"/>
    </sheetNames>
    <sheetDataSet>
      <sheetData sheetId="0" refreshError="1"/>
      <sheetData sheetId="1" refreshError="1"/>
      <sheetData sheetId="2">
        <row r="6">
          <cell r="E6">
            <v>0</v>
          </cell>
          <cell r="K6">
            <v>390000</v>
          </cell>
        </row>
        <row r="18">
          <cell r="E18">
            <v>600000</v>
          </cell>
          <cell r="K18">
            <v>245000</v>
          </cell>
        </row>
        <row r="29">
          <cell r="E29">
            <v>0</v>
          </cell>
          <cell r="K29">
            <v>605000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EFAE-E15B-F748-81D5-80EFD5D2FC62}">
  <dimension ref="A1:AH78"/>
  <sheetViews>
    <sheetView tabSelected="1" topLeftCell="A74" workbookViewId="0">
      <selection activeCell="G83" sqref="G83"/>
    </sheetView>
  </sheetViews>
  <sheetFormatPr baseColWidth="10" defaultRowHeight="16" x14ac:dyDescent="0.2"/>
  <sheetData>
    <row r="1" spans="1:13" ht="17" thickBot="1" x14ac:dyDescent="0.25"/>
    <row r="2" spans="1:13" ht="19" thickBot="1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x14ac:dyDescent="0.2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4"/>
    </row>
    <row r="4" spans="1:13" x14ac:dyDescent="0.2">
      <c r="A4" s="6" t="s">
        <v>1</v>
      </c>
      <c r="B4" s="7" t="s">
        <v>1</v>
      </c>
      <c r="C4" s="8" t="s">
        <v>2</v>
      </c>
      <c r="D4" s="9" t="s">
        <v>3</v>
      </c>
      <c r="E4" s="9" t="s">
        <v>4</v>
      </c>
      <c r="F4" s="9" t="s">
        <v>5</v>
      </c>
      <c r="G4" s="10" t="s">
        <v>6</v>
      </c>
      <c r="H4" s="11"/>
      <c r="I4" s="10" t="s">
        <v>7</v>
      </c>
      <c r="J4" s="11"/>
      <c r="K4" s="12" t="s">
        <v>8</v>
      </c>
      <c r="L4" s="12"/>
      <c r="M4" s="9" t="s">
        <v>9</v>
      </c>
    </row>
    <row r="5" spans="1:13" x14ac:dyDescent="0.2">
      <c r="A5" s="13" t="s">
        <v>10</v>
      </c>
      <c r="B5" s="14" t="s">
        <v>11</v>
      </c>
      <c r="C5" s="15"/>
      <c r="D5" s="16"/>
      <c r="E5" s="16"/>
      <c r="F5" s="16"/>
      <c r="G5" s="17" t="s">
        <v>12</v>
      </c>
      <c r="H5" s="18" t="s">
        <v>13</v>
      </c>
      <c r="I5" s="17" t="s">
        <v>14</v>
      </c>
      <c r="J5" s="18" t="s">
        <v>15</v>
      </c>
      <c r="K5" s="7" t="s">
        <v>12</v>
      </c>
      <c r="L5" s="17" t="s">
        <v>13</v>
      </c>
      <c r="M5" s="16"/>
    </row>
    <row r="6" spans="1:13" x14ac:dyDescent="0.2">
      <c r="A6" s="19">
        <v>1</v>
      </c>
      <c r="B6" s="19" t="s">
        <v>16</v>
      </c>
      <c r="C6" s="20" t="s">
        <v>17</v>
      </c>
      <c r="D6" s="21"/>
      <c r="E6" s="21"/>
      <c r="F6" s="21"/>
      <c r="G6" s="22">
        <f>[1]Etud!E6</f>
        <v>0</v>
      </c>
      <c r="H6" s="20"/>
      <c r="I6" s="22">
        <f>[1]Etud!C13</f>
        <v>0</v>
      </c>
      <c r="J6" s="22">
        <f>[1]Etud!D13</f>
        <v>0</v>
      </c>
      <c r="K6" s="22">
        <f>G6+I6-J6</f>
        <v>0</v>
      </c>
      <c r="L6" s="23"/>
      <c r="M6" s="24"/>
    </row>
    <row r="7" spans="1:13" ht="56" x14ac:dyDescent="0.2">
      <c r="A7" s="19">
        <v>2</v>
      </c>
      <c r="B7" s="19" t="s">
        <v>18</v>
      </c>
      <c r="C7" s="25" t="s">
        <v>19</v>
      </c>
      <c r="D7" s="21" t="s">
        <v>20</v>
      </c>
      <c r="E7" s="21" t="s">
        <v>21</v>
      </c>
      <c r="F7" s="21" t="s">
        <v>22</v>
      </c>
      <c r="G7" s="26">
        <f>[1]Etud!E18</f>
        <v>600000</v>
      </c>
      <c r="H7" s="23"/>
      <c r="I7" s="26">
        <f>[1]Etud!C24</f>
        <v>0</v>
      </c>
      <c r="J7" s="26">
        <f>[1]Etud!D24</f>
        <v>0</v>
      </c>
      <c r="K7" s="27">
        <f t="shared" ref="K7:K11" si="0">G7+I7-J7</f>
        <v>600000</v>
      </c>
      <c r="L7" s="28"/>
      <c r="M7" s="29" t="s">
        <v>23</v>
      </c>
    </row>
    <row r="8" spans="1:13" x14ac:dyDescent="0.2">
      <c r="A8" s="19">
        <v>3</v>
      </c>
      <c r="B8" s="19"/>
      <c r="C8" s="20"/>
      <c r="D8" s="21"/>
      <c r="E8" s="21"/>
      <c r="F8" s="21"/>
      <c r="G8" s="26">
        <f>[1]Etud!E29</f>
        <v>0</v>
      </c>
      <c r="H8" s="23"/>
      <c r="I8" s="26">
        <f>[1]Etud!C35</f>
        <v>0</v>
      </c>
      <c r="J8" s="26">
        <f>[1]Etud!D35</f>
        <v>0</v>
      </c>
      <c r="K8" s="27">
        <f t="shared" si="0"/>
        <v>0</v>
      </c>
      <c r="L8" s="28"/>
      <c r="M8" s="24"/>
    </row>
    <row r="9" spans="1:13" x14ac:dyDescent="0.2">
      <c r="A9" s="19">
        <v>4</v>
      </c>
      <c r="B9" s="19" t="s">
        <v>24</v>
      </c>
      <c r="C9" s="20" t="s">
        <v>25</v>
      </c>
      <c r="D9" s="21" t="s">
        <v>26</v>
      </c>
      <c r="E9" s="21" t="s">
        <v>21</v>
      </c>
      <c r="F9" s="21" t="s">
        <v>27</v>
      </c>
      <c r="G9" s="26">
        <f>[1]Etud!K6</f>
        <v>390000</v>
      </c>
      <c r="H9" s="23"/>
      <c r="I9" s="26">
        <f>[1]Etud!I13</f>
        <v>0</v>
      </c>
      <c r="J9" s="26">
        <f>[1]Etud!J13</f>
        <v>0</v>
      </c>
      <c r="K9" s="27">
        <f t="shared" si="0"/>
        <v>390000</v>
      </c>
      <c r="L9" s="23"/>
      <c r="M9" s="29" t="s">
        <v>28</v>
      </c>
    </row>
    <row r="10" spans="1:13" x14ac:dyDescent="0.2">
      <c r="A10" s="19">
        <v>5</v>
      </c>
      <c r="B10" s="19" t="s">
        <v>29</v>
      </c>
      <c r="C10" s="20" t="s">
        <v>30</v>
      </c>
      <c r="D10" s="21" t="s">
        <v>31</v>
      </c>
      <c r="E10" s="21" t="s">
        <v>32</v>
      </c>
      <c r="F10" s="21" t="s">
        <v>22</v>
      </c>
      <c r="G10" s="26">
        <f>[1]Etud!K18</f>
        <v>245000</v>
      </c>
      <c r="H10" s="23"/>
      <c r="I10" s="26">
        <f>[1]Etud!I24</f>
        <v>0</v>
      </c>
      <c r="J10" s="26">
        <f>[1]Etud!J24</f>
        <v>0</v>
      </c>
      <c r="K10" s="27">
        <f t="shared" si="0"/>
        <v>245000</v>
      </c>
      <c r="L10" s="23"/>
      <c r="M10" s="29" t="s">
        <v>33</v>
      </c>
    </row>
    <row r="11" spans="1:13" ht="66" x14ac:dyDescent="0.2">
      <c r="A11" s="19">
        <v>6</v>
      </c>
      <c r="B11" s="19" t="s">
        <v>34</v>
      </c>
      <c r="C11" s="20" t="s">
        <v>35</v>
      </c>
      <c r="D11" s="21" t="s">
        <v>36</v>
      </c>
      <c r="E11" s="21" t="s">
        <v>21</v>
      </c>
      <c r="F11" s="21" t="s">
        <v>22</v>
      </c>
      <c r="G11" s="26">
        <f>[1]Etud!K29</f>
        <v>605000</v>
      </c>
      <c r="H11" s="23"/>
      <c r="I11" s="26">
        <f>[1]Etud!I35</f>
        <v>0</v>
      </c>
      <c r="J11" s="26">
        <f>[1]Etud!J35</f>
        <v>0</v>
      </c>
      <c r="K11" s="27">
        <f t="shared" si="0"/>
        <v>605000</v>
      </c>
      <c r="L11" s="23"/>
      <c r="M11" s="30" t="s">
        <v>37</v>
      </c>
    </row>
    <row r="14" spans="1:13" x14ac:dyDescent="0.2">
      <c r="A14" s="31" t="s">
        <v>38</v>
      </c>
      <c r="B14" s="32" t="s">
        <v>39</v>
      </c>
      <c r="C14" s="32"/>
      <c r="D14" s="32"/>
      <c r="E14" s="32"/>
    </row>
    <row r="15" spans="1:13" x14ac:dyDescent="0.2">
      <c r="A15" s="33" t="s">
        <v>40</v>
      </c>
      <c r="B15" s="34" t="s">
        <v>41</v>
      </c>
      <c r="C15" s="33" t="s">
        <v>42</v>
      </c>
      <c r="D15" s="35" t="s">
        <v>43</v>
      </c>
      <c r="E15" s="33" t="s">
        <v>44</v>
      </c>
    </row>
    <row r="16" spans="1:13" x14ac:dyDescent="0.2">
      <c r="A16" s="36"/>
      <c r="B16" s="37"/>
      <c r="C16" s="36"/>
      <c r="D16" s="37"/>
      <c r="E16" s="36" t="s">
        <v>45</v>
      </c>
    </row>
    <row r="17" spans="1:5" x14ac:dyDescent="0.2">
      <c r="A17" s="38">
        <v>44470</v>
      </c>
      <c r="B17" s="39" t="s">
        <v>46</v>
      </c>
      <c r="C17" s="40"/>
      <c r="D17" s="40"/>
      <c r="E17" s="40">
        <v>589000</v>
      </c>
    </row>
    <row r="18" spans="1:5" ht="30" x14ac:dyDescent="0.2">
      <c r="A18" s="38"/>
      <c r="B18" s="41" t="s">
        <v>47</v>
      </c>
      <c r="C18" s="42"/>
      <c r="D18" s="42"/>
      <c r="E18" s="42">
        <f>E17+C18-D18</f>
        <v>589000</v>
      </c>
    </row>
    <row r="19" spans="1:5" x14ac:dyDescent="0.2">
      <c r="A19" s="38"/>
      <c r="B19" s="39" t="s">
        <v>48</v>
      </c>
      <c r="C19" s="42"/>
      <c r="D19" s="42"/>
      <c r="E19" s="42">
        <f t="shared" ref="E19" si="1">E18+C19-D19</f>
        <v>589000</v>
      </c>
    </row>
    <row r="20" spans="1:5" x14ac:dyDescent="0.2">
      <c r="A20" s="38"/>
      <c r="B20" s="39"/>
      <c r="C20" s="42"/>
      <c r="D20" s="42"/>
      <c r="E20" s="42"/>
    </row>
    <row r="21" spans="1:5" x14ac:dyDescent="0.2">
      <c r="A21" s="38"/>
      <c r="B21" s="39"/>
      <c r="C21" s="42"/>
      <c r="D21" s="42"/>
      <c r="E21" s="42"/>
    </row>
    <row r="22" spans="1:5" x14ac:dyDescent="0.2">
      <c r="A22" s="43"/>
      <c r="B22" s="37" t="s">
        <v>49</v>
      </c>
      <c r="C22" s="44">
        <f>SUM(C17:C21)</f>
        <v>0</v>
      </c>
      <c r="D22" s="45">
        <f>SUM(D17:D21)</f>
        <v>0</v>
      </c>
      <c r="E22" s="46"/>
    </row>
    <row r="23" spans="1:5" x14ac:dyDescent="0.2">
      <c r="A23" s="39"/>
      <c r="B23" s="39"/>
      <c r="C23" s="39"/>
      <c r="D23" s="39"/>
      <c r="E23" s="39"/>
    </row>
    <row r="24" spans="1:5" x14ac:dyDescent="0.2">
      <c r="A24" s="31" t="s">
        <v>50</v>
      </c>
      <c r="B24" s="32" t="s">
        <v>51</v>
      </c>
      <c r="C24" s="32"/>
      <c r="D24" s="32"/>
      <c r="E24" s="32"/>
    </row>
    <row r="25" spans="1:5" x14ac:dyDescent="0.2">
      <c r="A25" s="33" t="s">
        <v>40</v>
      </c>
      <c r="B25" s="34" t="s">
        <v>41</v>
      </c>
      <c r="C25" s="33" t="s">
        <v>42</v>
      </c>
      <c r="D25" s="35" t="s">
        <v>43</v>
      </c>
      <c r="E25" s="33" t="s">
        <v>44</v>
      </c>
    </row>
    <row r="26" spans="1:5" x14ac:dyDescent="0.2">
      <c r="A26" s="36"/>
      <c r="B26" s="37"/>
      <c r="C26" s="36"/>
      <c r="D26" s="37"/>
      <c r="E26" s="36" t="s">
        <v>45</v>
      </c>
    </row>
    <row r="27" spans="1:5" x14ac:dyDescent="0.2">
      <c r="A27" s="38">
        <v>44470</v>
      </c>
      <c r="B27" s="39" t="s">
        <v>46</v>
      </c>
      <c r="C27" s="42"/>
      <c r="D27" s="47"/>
      <c r="E27" s="42">
        <v>0</v>
      </c>
    </row>
    <row r="28" spans="1:5" ht="30" x14ac:dyDescent="0.2">
      <c r="A28" s="38"/>
      <c r="B28" s="41" t="s">
        <v>47</v>
      </c>
      <c r="C28" s="42"/>
      <c r="D28" s="47"/>
      <c r="E28" s="42">
        <f>E27+C28-D28</f>
        <v>0</v>
      </c>
    </row>
    <row r="29" spans="1:5" x14ac:dyDescent="0.2">
      <c r="A29" s="38"/>
      <c r="B29" s="39" t="s">
        <v>48</v>
      </c>
      <c r="C29" s="42"/>
      <c r="D29" s="47"/>
      <c r="E29" s="42">
        <f t="shared" ref="E29:E30" si="2">E28+C29-D29</f>
        <v>0</v>
      </c>
    </row>
    <row r="30" spans="1:5" x14ac:dyDescent="0.2">
      <c r="A30" s="38"/>
      <c r="B30" s="39"/>
      <c r="C30" s="42"/>
      <c r="D30" s="47"/>
      <c r="E30" s="42">
        <f t="shared" si="2"/>
        <v>0</v>
      </c>
    </row>
    <row r="31" spans="1:5" x14ac:dyDescent="0.2">
      <c r="A31" s="38"/>
      <c r="B31" s="39"/>
      <c r="C31" s="42"/>
      <c r="D31" s="47"/>
      <c r="E31" s="42"/>
    </row>
    <row r="32" spans="1:5" x14ac:dyDescent="0.2">
      <c r="A32" s="38"/>
      <c r="B32" s="39"/>
      <c r="C32" s="42"/>
      <c r="D32" s="47"/>
      <c r="E32" s="42"/>
    </row>
    <row r="33" spans="1:5" x14ac:dyDescent="0.2">
      <c r="A33" s="43"/>
      <c r="B33" s="37" t="s">
        <v>49</v>
      </c>
      <c r="C33" s="44">
        <f>SUM(C27:C32)</f>
        <v>0</v>
      </c>
      <c r="D33" s="45">
        <f>SUM(D27:D32)</f>
        <v>0</v>
      </c>
      <c r="E33" s="46"/>
    </row>
    <row r="34" spans="1:5" x14ac:dyDescent="0.2">
      <c r="A34" s="55"/>
      <c r="B34" s="56"/>
      <c r="C34" s="57"/>
      <c r="D34" s="57"/>
      <c r="E34" s="57"/>
    </row>
    <row r="35" spans="1:5" x14ac:dyDescent="0.2">
      <c r="A35" s="55"/>
      <c r="B35" s="56"/>
      <c r="C35" s="57"/>
      <c r="D35" s="57"/>
      <c r="E35" s="57"/>
    </row>
    <row r="36" spans="1:5" x14ac:dyDescent="0.2">
      <c r="A36" s="48" t="s">
        <v>52</v>
      </c>
      <c r="B36" s="48" t="s">
        <v>53</v>
      </c>
      <c r="C36" s="39"/>
      <c r="D36" s="39"/>
      <c r="E36" s="39"/>
    </row>
    <row r="37" spans="1:5" x14ac:dyDescent="0.2">
      <c r="A37" s="33" t="s">
        <v>40</v>
      </c>
      <c r="B37" s="34" t="s">
        <v>41</v>
      </c>
      <c r="C37" s="33" t="s">
        <v>42</v>
      </c>
      <c r="D37" s="35" t="s">
        <v>43</v>
      </c>
      <c r="E37" s="33" t="s">
        <v>44</v>
      </c>
    </row>
    <row r="38" spans="1:5" x14ac:dyDescent="0.2">
      <c r="A38" s="36"/>
      <c r="B38" s="37"/>
      <c r="C38" s="36"/>
      <c r="D38" s="37"/>
      <c r="E38" s="36" t="s">
        <v>45</v>
      </c>
    </row>
    <row r="39" spans="1:5" x14ac:dyDescent="0.2">
      <c r="A39" s="38">
        <v>44105</v>
      </c>
      <c r="B39" s="39" t="s">
        <v>46</v>
      </c>
      <c r="C39" s="42"/>
      <c r="D39" s="47"/>
      <c r="E39" s="49">
        <v>140000</v>
      </c>
    </row>
    <row r="40" spans="1:5" x14ac:dyDescent="0.2">
      <c r="A40" s="38"/>
      <c r="B40" s="39" t="s">
        <v>54</v>
      </c>
      <c r="C40" s="50"/>
      <c r="D40" s="47"/>
      <c r="E40" s="42">
        <f>E39+C40-D40</f>
        <v>140000</v>
      </c>
    </row>
    <row r="41" spans="1:5" x14ac:dyDescent="0.2">
      <c r="A41" s="38"/>
      <c r="B41" s="39" t="s">
        <v>55</v>
      </c>
      <c r="C41" s="51"/>
      <c r="D41" s="47"/>
      <c r="E41" s="42">
        <f>E40+C41-D41</f>
        <v>140000</v>
      </c>
    </row>
    <row r="42" spans="1:5" x14ac:dyDescent="0.2">
      <c r="A42" s="38"/>
      <c r="B42" s="39"/>
      <c r="C42" s="51"/>
      <c r="D42" s="47"/>
      <c r="E42" s="42">
        <f t="shared" ref="E42" si="3">E41+C42-D42</f>
        <v>140000</v>
      </c>
    </row>
    <row r="43" spans="1:5" x14ac:dyDescent="0.2">
      <c r="A43" s="38"/>
      <c r="B43" s="39"/>
      <c r="C43" s="51"/>
      <c r="D43" s="47"/>
      <c r="E43" s="42"/>
    </row>
    <row r="44" spans="1:5" x14ac:dyDescent="0.2">
      <c r="A44" s="38"/>
      <c r="B44" s="39"/>
      <c r="C44" s="51"/>
      <c r="D44" s="47"/>
      <c r="E44" s="42"/>
    </row>
    <row r="45" spans="1:5" x14ac:dyDescent="0.2">
      <c r="A45" s="38"/>
      <c r="B45" s="39"/>
      <c r="C45" s="51"/>
      <c r="D45" s="47"/>
      <c r="E45" s="52"/>
    </row>
    <row r="46" spans="1:5" x14ac:dyDescent="0.2">
      <c r="A46" s="43"/>
      <c r="B46" s="53" t="s">
        <v>49</v>
      </c>
      <c r="C46" s="44">
        <f>SUM(C39:C43)</f>
        <v>0</v>
      </c>
      <c r="D46" s="45">
        <f>SUM(D39:D43)</f>
        <v>0</v>
      </c>
      <c r="E46" s="54"/>
    </row>
    <row r="48" spans="1:5" ht="17" thickBot="1" x14ac:dyDescent="0.25"/>
    <row r="49" spans="1:13" ht="20" thickBot="1" x14ac:dyDescent="0.3">
      <c r="A49" s="58" t="s">
        <v>56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</row>
    <row r="50" spans="1:13" x14ac:dyDescent="0.2">
      <c r="A50" s="61"/>
      <c r="B50" s="61"/>
      <c r="C50" s="61"/>
      <c r="D50" s="61"/>
      <c r="E50" s="61"/>
      <c r="F50" s="61"/>
      <c r="G50" s="62"/>
      <c r="H50" s="62"/>
      <c r="I50" s="62"/>
      <c r="J50" s="62"/>
      <c r="K50" s="62"/>
      <c r="L50" s="62"/>
      <c r="M50" s="61"/>
    </row>
    <row r="51" spans="1:13" x14ac:dyDescent="0.2">
      <c r="A51" s="63" t="s">
        <v>57</v>
      </c>
      <c r="B51" s="33" t="s">
        <v>1</v>
      </c>
      <c r="C51" s="64" t="s">
        <v>2</v>
      </c>
      <c r="D51" s="65" t="s">
        <v>3</v>
      </c>
      <c r="E51" s="65" t="s">
        <v>4</v>
      </c>
      <c r="F51" s="65" t="s">
        <v>5</v>
      </c>
      <c r="G51" s="66" t="s">
        <v>6</v>
      </c>
      <c r="H51" s="67"/>
      <c r="I51" s="66" t="s">
        <v>7</v>
      </c>
      <c r="J51" s="67"/>
      <c r="K51" s="68" t="s">
        <v>8</v>
      </c>
      <c r="L51" s="68"/>
      <c r="M51" s="65" t="s">
        <v>9</v>
      </c>
    </row>
    <row r="52" spans="1:13" x14ac:dyDescent="0.2">
      <c r="A52" s="69" t="s">
        <v>10</v>
      </c>
      <c r="B52" s="36" t="s">
        <v>11</v>
      </c>
      <c r="C52" s="70"/>
      <c r="D52" s="71"/>
      <c r="E52" s="71"/>
      <c r="F52" s="71"/>
      <c r="G52" s="72" t="s">
        <v>12</v>
      </c>
      <c r="H52" s="73" t="s">
        <v>13</v>
      </c>
      <c r="I52" s="72" t="s">
        <v>14</v>
      </c>
      <c r="J52" s="73" t="s">
        <v>15</v>
      </c>
      <c r="K52" s="33" t="s">
        <v>12</v>
      </c>
      <c r="L52" s="72" t="s">
        <v>13</v>
      </c>
      <c r="M52" s="71"/>
    </row>
    <row r="53" spans="1:13" x14ac:dyDescent="0.2">
      <c r="A53" s="74">
        <v>1</v>
      </c>
      <c r="B53" s="74" t="s">
        <v>16</v>
      </c>
      <c r="C53" s="75" t="s">
        <v>17</v>
      </c>
      <c r="D53" s="76"/>
      <c r="E53" s="76"/>
      <c r="F53" s="76"/>
      <c r="G53" s="77">
        <f>[1]Etud!E53</f>
        <v>0</v>
      </c>
      <c r="H53" s="75"/>
      <c r="I53" s="77">
        <f>[1]Etud!C60</f>
        <v>0</v>
      </c>
      <c r="J53" s="77">
        <f>[1]Etud!D60</f>
        <v>0</v>
      </c>
      <c r="K53" s="77">
        <f>G53+I53-J53</f>
        <v>0</v>
      </c>
      <c r="L53" s="75"/>
      <c r="M53" s="78"/>
    </row>
    <row r="54" spans="1:13" x14ac:dyDescent="0.2">
      <c r="A54" s="74">
        <v>2</v>
      </c>
      <c r="B54" s="74" t="s">
        <v>58</v>
      </c>
      <c r="C54" s="75" t="s">
        <v>19</v>
      </c>
      <c r="D54" s="76" t="s">
        <v>20</v>
      </c>
      <c r="E54" s="76" t="s">
        <v>21</v>
      </c>
      <c r="F54" s="76" t="s">
        <v>22</v>
      </c>
      <c r="G54" s="77">
        <f>[1]Etud!E65</f>
        <v>0</v>
      </c>
      <c r="H54" s="75"/>
      <c r="I54" s="77">
        <f>[1]Etud!C71</f>
        <v>0</v>
      </c>
      <c r="J54" s="77">
        <f>[1]Etud!D71</f>
        <v>0</v>
      </c>
      <c r="K54" s="79">
        <f t="shared" ref="K54:K59" si="4">G54+I54-J54</f>
        <v>0</v>
      </c>
      <c r="L54" s="80"/>
      <c r="M54" s="81" t="s">
        <v>23</v>
      </c>
    </row>
    <row r="55" spans="1:13" x14ac:dyDescent="0.2">
      <c r="A55" s="74">
        <v>3</v>
      </c>
      <c r="B55" s="74"/>
      <c r="C55" s="75"/>
      <c r="D55" s="76"/>
      <c r="E55" s="76"/>
      <c r="F55" s="76"/>
      <c r="G55" s="77">
        <f>[1]Etud!E76</f>
        <v>0</v>
      </c>
      <c r="H55" s="75"/>
      <c r="I55" s="77">
        <f>[1]Etud!C82</f>
        <v>0</v>
      </c>
      <c r="J55" s="77">
        <f>[1]Etud!D82</f>
        <v>0</v>
      </c>
      <c r="K55" s="79">
        <f t="shared" si="4"/>
        <v>0</v>
      </c>
      <c r="L55" s="80"/>
      <c r="M55" s="78"/>
    </row>
    <row r="56" spans="1:13" x14ac:dyDescent="0.2">
      <c r="A56" s="74">
        <v>4</v>
      </c>
      <c r="B56" s="74" t="s">
        <v>24</v>
      </c>
      <c r="C56" s="75" t="s">
        <v>25</v>
      </c>
      <c r="D56" s="76" t="s">
        <v>26</v>
      </c>
      <c r="E56" s="76" t="s">
        <v>21</v>
      </c>
      <c r="F56" s="76" t="s">
        <v>27</v>
      </c>
      <c r="G56" s="77">
        <f>[1]Etud!K53</f>
        <v>0</v>
      </c>
      <c r="H56" s="75"/>
      <c r="I56" s="77">
        <f>[1]Etud!I60</f>
        <v>0</v>
      </c>
      <c r="J56" s="77">
        <f>[1]Etud!J60</f>
        <v>0</v>
      </c>
      <c r="K56" s="79">
        <f t="shared" si="4"/>
        <v>0</v>
      </c>
      <c r="L56" s="75"/>
      <c r="M56" s="81" t="s">
        <v>28</v>
      </c>
    </row>
    <row r="57" spans="1:13" x14ac:dyDescent="0.2">
      <c r="A57" s="74">
        <v>5</v>
      </c>
      <c r="B57" s="74" t="s">
        <v>29</v>
      </c>
      <c r="C57" s="75" t="s">
        <v>30</v>
      </c>
      <c r="D57" s="76" t="s">
        <v>31</v>
      </c>
      <c r="E57" s="76" t="s">
        <v>32</v>
      </c>
      <c r="F57" s="76" t="s">
        <v>22</v>
      </c>
      <c r="G57" s="77">
        <f>[1]Etud!K65</f>
        <v>0</v>
      </c>
      <c r="H57" s="75"/>
      <c r="I57" s="77">
        <f>[1]Etud!I71</f>
        <v>0</v>
      </c>
      <c r="J57" s="77">
        <f>[1]Etud!J71</f>
        <v>0</v>
      </c>
      <c r="K57" s="79">
        <f t="shared" si="4"/>
        <v>0</v>
      </c>
      <c r="L57" s="75"/>
      <c r="M57" s="81" t="s">
        <v>33</v>
      </c>
    </row>
    <row r="58" spans="1:13" x14ac:dyDescent="0.2">
      <c r="A58" s="74">
        <v>6</v>
      </c>
      <c r="B58" s="74" t="s">
        <v>59</v>
      </c>
      <c r="C58" s="75" t="s">
        <v>35</v>
      </c>
      <c r="D58" s="76" t="s">
        <v>36</v>
      </c>
      <c r="E58" s="76" t="s">
        <v>32</v>
      </c>
      <c r="F58" s="76" t="s">
        <v>60</v>
      </c>
      <c r="G58" s="77">
        <f>[1]Etud!K76</f>
        <v>0</v>
      </c>
      <c r="H58" s="75"/>
      <c r="I58" s="77">
        <f>[1]Etud!I82</f>
        <v>0</v>
      </c>
      <c r="J58" s="77">
        <f>[1]Etud!J82</f>
        <v>0</v>
      </c>
      <c r="K58" s="79">
        <f t="shared" si="4"/>
        <v>0</v>
      </c>
      <c r="L58" s="75"/>
      <c r="M58" s="82"/>
    </row>
    <row r="59" spans="1:13" x14ac:dyDescent="0.2">
      <c r="A59" s="74">
        <v>7</v>
      </c>
      <c r="B59" s="74" t="s">
        <v>61</v>
      </c>
      <c r="C59" s="83" t="s">
        <v>62</v>
      </c>
      <c r="D59" s="81" t="s">
        <v>63</v>
      </c>
      <c r="E59" s="81" t="s">
        <v>21</v>
      </c>
      <c r="F59" s="81" t="s">
        <v>60</v>
      </c>
      <c r="G59" s="77">
        <f>[1]Etud!Q53</f>
        <v>0</v>
      </c>
      <c r="H59" s="75"/>
      <c r="I59" s="77">
        <f>[1]Etud!O60</f>
        <v>0</v>
      </c>
      <c r="J59" s="77">
        <f>[1]Etud!P60</f>
        <v>0</v>
      </c>
      <c r="K59" s="79">
        <f t="shared" si="4"/>
        <v>0</v>
      </c>
      <c r="L59" s="75"/>
      <c r="M59" s="76"/>
    </row>
    <row r="60" spans="1:13" x14ac:dyDescent="0.2">
      <c r="A60" s="102"/>
      <c r="B60" s="102"/>
      <c r="C60" s="103"/>
      <c r="D60" s="104"/>
      <c r="E60" s="104"/>
      <c r="F60" s="104"/>
      <c r="G60" s="105"/>
      <c r="H60" s="106"/>
      <c r="I60" s="105"/>
      <c r="J60" s="105"/>
      <c r="K60" s="107"/>
      <c r="L60" s="106"/>
      <c r="M60" s="108"/>
    </row>
    <row r="61" spans="1:13" ht="17" thickBot="1" x14ac:dyDescent="0.25">
      <c r="A61" s="102"/>
      <c r="B61" s="102"/>
      <c r="C61" s="103"/>
      <c r="D61" s="104"/>
      <c r="E61" s="104"/>
      <c r="F61" s="104"/>
      <c r="G61" s="105"/>
      <c r="H61" s="106"/>
      <c r="I61" s="105"/>
      <c r="J61" s="105"/>
      <c r="K61" s="107"/>
      <c r="L61" s="106"/>
      <c r="M61" s="108"/>
    </row>
    <row r="62" spans="1:13" ht="18" thickBot="1" x14ac:dyDescent="0.25">
      <c r="A62" s="84" t="s">
        <v>64</v>
      </c>
      <c r="B62" s="85"/>
      <c r="C62" s="85"/>
      <c r="D62" s="85"/>
      <c r="E62" s="85"/>
      <c r="F62" s="85"/>
      <c r="G62" s="85"/>
      <c r="H62" s="85"/>
      <c r="I62" s="85"/>
      <c r="J62" s="86"/>
    </row>
    <row r="63" spans="1:13" ht="18" thickBot="1" x14ac:dyDescent="0.25">
      <c r="A63" s="87"/>
      <c r="B63" s="87"/>
      <c r="C63" s="88"/>
      <c r="D63" s="88"/>
      <c r="E63" s="87"/>
      <c r="F63" s="87"/>
      <c r="G63" s="87"/>
      <c r="H63" s="87"/>
      <c r="I63" s="87"/>
      <c r="J63" s="87"/>
    </row>
    <row r="64" spans="1:13" ht="18" thickBot="1" x14ac:dyDescent="0.25">
      <c r="A64" s="84" t="s">
        <v>65</v>
      </c>
      <c r="B64" s="84"/>
      <c r="C64" s="84"/>
      <c r="D64" s="84"/>
      <c r="E64" s="84"/>
      <c r="F64" s="84"/>
      <c r="G64" s="84"/>
      <c r="H64" s="84"/>
      <c r="I64" s="84"/>
      <c r="J64" s="89"/>
    </row>
    <row r="65" spans="1:34" x14ac:dyDescent="0.2">
      <c r="A65" s="88"/>
      <c r="B65" s="88"/>
      <c r="E65" s="88"/>
      <c r="F65" s="88"/>
      <c r="G65" s="88"/>
      <c r="H65" s="88"/>
      <c r="I65" s="88"/>
      <c r="J65" s="88"/>
    </row>
    <row r="66" spans="1:34" ht="51" x14ac:dyDescent="0.2">
      <c r="A66" s="90" t="s">
        <v>1</v>
      </c>
      <c r="B66" s="90" t="s">
        <v>66</v>
      </c>
      <c r="C66" s="91" t="s">
        <v>67</v>
      </c>
      <c r="D66" s="91" t="s">
        <v>4</v>
      </c>
      <c r="E66" s="92" t="s">
        <v>68</v>
      </c>
      <c r="F66" s="93" t="s">
        <v>69</v>
      </c>
      <c r="G66" s="93" t="s">
        <v>70</v>
      </c>
      <c r="H66" s="93" t="s">
        <v>71</v>
      </c>
      <c r="I66" s="94" t="s">
        <v>72</v>
      </c>
      <c r="J66" s="90" t="s">
        <v>73</v>
      </c>
    </row>
    <row r="67" spans="1:34" ht="56" x14ac:dyDescent="0.2">
      <c r="A67" s="95">
        <v>2</v>
      </c>
      <c r="B67" s="96" t="s">
        <v>74</v>
      </c>
      <c r="C67" s="97" t="s">
        <v>75</v>
      </c>
      <c r="D67" s="97" t="s">
        <v>76</v>
      </c>
      <c r="E67" s="98">
        <v>0</v>
      </c>
      <c r="F67" s="99">
        <v>2250</v>
      </c>
      <c r="G67" s="100">
        <f>E67*F67</f>
        <v>0</v>
      </c>
      <c r="H67" s="100"/>
      <c r="I67" s="100">
        <v>0</v>
      </c>
      <c r="J67" s="100"/>
    </row>
    <row r="68" spans="1:34" ht="28" x14ac:dyDescent="0.2">
      <c r="A68" s="95">
        <v>3</v>
      </c>
      <c r="B68" s="96" t="s">
        <v>77</v>
      </c>
      <c r="C68" s="101" t="s">
        <v>78</v>
      </c>
      <c r="D68" s="96" t="s">
        <v>79</v>
      </c>
      <c r="E68" s="98">
        <v>0</v>
      </c>
      <c r="F68" s="99">
        <v>1750</v>
      </c>
      <c r="G68" s="100">
        <f t="shared" ref="G68" si="5">E68*F68</f>
        <v>0</v>
      </c>
      <c r="H68" s="100"/>
      <c r="I68" s="100">
        <v>0</v>
      </c>
      <c r="J68" s="100"/>
    </row>
    <row r="69" spans="1:34" x14ac:dyDescent="0.2">
      <c r="A69" s="140"/>
      <c r="B69" s="141"/>
      <c r="C69" s="142"/>
      <c r="D69" s="141"/>
      <c r="E69" s="143"/>
      <c r="F69" s="144"/>
      <c r="G69" s="145"/>
      <c r="H69" s="145"/>
      <c r="I69" s="145"/>
      <c r="J69" s="145"/>
    </row>
    <row r="70" spans="1:34" x14ac:dyDescent="0.2">
      <c r="A70" s="140"/>
      <c r="B70" s="141"/>
      <c r="C70" s="142"/>
      <c r="D70" s="141"/>
      <c r="E70" s="143"/>
      <c r="F70" s="144"/>
      <c r="G70" s="145"/>
      <c r="H70" s="145"/>
      <c r="I70" s="145"/>
      <c r="J70" s="145"/>
    </row>
    <row r="71" spans="1:34" x14ac:dyDescent="0.2">
      <c r="A71" s="140"/>
      <c r="B71" s="141"/>
      <c r="C71" s="142"/>
      <c r="D71" s="141"/>
      <c r="E71" s="143"/>
      <c r="F71" s="144"/>
      <c r="G71" s="145"/>
      <c r="H71" s="145"/>
      <c r="I71" s="145"/>
      <c r="J71" s="145"/>
    </row>
    <row r="72" spans="1:34" x14ac:dyDescent="0.2">
      <c r="A72" s="140"/>
      <c r="B72" s="141"/>
      <c r="C72" s="142"/>
      <c r="D72" s="141"/>
      <c r="E72" s="143"/>
      <c r="F72" s="144"/>
      <c r="G72" s="145"/>
      <c r="H72" s="145"/>
      <c r="I72" s="145"/>
      <c r="J72" s="145"/>
    </row>
    <row r="73" spans="1:34" ht="17" thickBot="1" x14ac:dyDescent="0.25">
      <c r="A73" s="109"/>
      <c r="B73" s="109" t="s">
        <v>80</v>
      </c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</row>
    <row r="74" spans="1:34" ht="17" thickBot="1" x14ac:dyDescent="0.25">
      <c r="A74" s="110" t="s">
        <v>81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2"/>
    </row>
    <row r="75" spans="1:34" x14ac:dyDescent="0.2">
      <c r="A75" s="113" t="s">
        <v>1</v>
      </c>
      <c r="B75" s="114" t="s">
        <v>82</v>
      </c>
      <c r="C75" s="115" t="s">
        <v>83</v>
      </c>
      <c r="D75" s="116" t="s">
        <v>84</v>
      </c>
      <c r="E75" s="117" t="s">
        <v>85</v>
      </c>
      <c r="F75" s="118" t="s">
        <v>86</v>
      </c>
      <c r="G75" s="117" t="s">
        <v>86</v>
      </c>
      <c r="H75" s="118" t="s">
        <v>87</v>
      </c>
      <c r="I75" s="118" t="s">
        <v>88</v>
      </c>
      <c r="J75" s="119" t="s">
        <v>89</v>
      </c>
      <c r="K75" s="117" t="s">
        <v>85</v>
      </c>
      <c r="L75" s="118" t="s">
        <v>86</v>
      </c>
      <c r="M75" s="117" t="s">
        <v>86</v>
      </c>
      <c r="N75" s="118" t="s">
        <v>87</v>
      </c>
      <c r="O75" s="118" t="s">
        <v>88</v>
      </c>
      <c r="P75" s="119" t="s">
        <v>89</v>
      </c>
      <c r="Q75" s="117" t="s">
        <v>85</v>
      </c>
      <c r="R75" s="118" t="s">
        <v>86</v>
      </c>
      <c r="S75" s="117" t="s">
        <v>86</v>
      </c>
      <c r="T75" s="118" t="s">
        <v>87</v>
      </c>
      <c r="U75" s="118" t="s">
        <v>88</v>
      </c>
      <c r="V75" s="119" t="s">
        <v>89</v>
      </c>
      <c r="W75" s="117" t="s">
        <v>85</v>
      </c>
      <c r="X75" s="118" t="s">
        <v>86</v>
      </c>
      <c r="Y75" s="117" t="s">
        <v>86</v>
      </c>
      <c r="Z75" s="118" t="s">
        <v>87</v>
      </c>
      <c r="AA75" s="118" t="s">
        <v>88</v>
      </c>
      <c r="AB75" s="119" t="s">
        <v>89</v>
      </c>
      <c r="AC75" s="117" t="s">
        <v>85</v>
      </c>
      <c r="AD75" s="118" t="s">
        <v>86</v>
      </c>
      <c r="AE75" s="117" t="s">
        <v>86</v>
      </c>
      <c r="AF75" s="120" t="s">
        <v>90</v>
      </c>
      <c r="AG75" s="121" t="s">
        <v>91</v>
      </c>
      <c r="AH75" s="121"/>
    </row>
    <row r="76" spans="1:34" ht="17" thickBot="1" x14ac:dyDescent="0.25">
      <c r="A76" s="122"/>
      <c r="B76" s="123" t="s">
        <v>92</v>
      </c>
      <c r="C76" s="124"/>
      <c r="D76" s="125"/>
      <c r="E76" s="126">
        <v>1</v>
      </c>
      <c r="F76" s="127">
        <v>2</v>
      </c>
      <c r="G76" s="127">
        <v>3</v>
      </c>
      <c r="H76" s="127">
        <v>4</v>
      </c>
      <c r="I76" s="127">
        <v>5</v>
      </c>
      <c r="J76" s="127">
        <v>6</v>
      </c>
      <c r="K76" s="127">
        <v>8</v>
      </c>
      <c r="L76" s="127">
        <v>9</v>
      </c>
      <c r="M76" s="127">
        <v>10</v>
      </c>
      <c r="N76" s="127">
        <v>11</v>
      </c>
      <c r="O76" s="128">
        <v>12</v>
      </c>
      <c r="P76" s="129">
        <v>13</v>
      </c>
      <c r="Q76" s="128">
        <v>15</v>
      </c>
      <c r="R76" s="128">
        <v>16</v>
      </c>
      <c r="S76" s="129">
        <v>17</v>
      </c>
      <c r="T76" s="128">
        <v>18</v>
      </c>
      <c r="U76" s="129">
        <v>19</v>
      </c>
      <c r="V76" s="129">
        <v>20</v>
      </c>
      <c r="W76" s="130">
        <v>22</v>
      </c>
      <c r="X76" s="129">
        <v>23</v>
      </c>
      <c r="Y76" s="129">
        <v>24</v>
      </c>
      <c r="Z76" s="129">
        <v>25</v>
      </c>
      <c r="AA76" s="131">
        <v>26</v>
      </c>
      <c r="AB76" s="131">
        <v>27</v>
      </c>
      <c r="AC76" s="132">
        <v>29</v>
      </c>
      <c r="AD76" s="132">
        <v>30</v>
      </c>
      <c r="AE76" s="132">
        <v>31</v>
      </c>
      <c r="AF76" s="133" t="s">
        <v>93</v>
      </c>
      <c r="AG76" s="134" t="s">
        <v>94</v>
      </c>
      <c r="AH76" s="134" t="s">
        <v>95</v>
      </c>
    </row>
    <row r="77" spans="1:34" ht="56" x14ac:dyDescent="0.2">
      <c r="A77" s="95">
        <v>2</v>
      </c>
      <c r="B77" s="96" t="s">
        <v>74</v>
      </c>
      <c r="C77" s="97" t="s">
        <v>75</v>
      </c>
      <c r="D77" s="97" t="s">
        <v>76</v>
      </c>
      <c r="E77" s="135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7"/>
      <c r="AB77" s="137"/>
      <c r="AC77" s="137"/>
      <c r="AD77" s="137"/>
      <c r="AE77" s="137"/>
      <c r="AF77" s="138">
        <f t="shared" ref="AF77:AF78" si="6">SUM(E77:AE77)</f>
        <v>0</v>
      </c>
      <c r="AG77" s="139"/>
      <c r="AH77" s="139"/>
    </row>
    <row r="78" spans="1:34" ht="28" x14ac:dyDescent="0.2">
      <c r="A78" s="95">
        <v>3</v>
      </c>
      <c r="B78" s="96" t="s">
        <v>77</v>
      </c>
      <c r="C78" s="101" t="s">
        <v>78</v>
      </c>
      <c r="D78" s="96" t="s">
        <v>79</v>
      </c>
      <c r="E78" s="135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7"/>
      <c r="AB78" s="137"/>
      <c r="AC78" s="137"/>
      <c r="AD78" s="137"/>
      <c r="AE78" s="137"/>
      <c r="AF78" s="138">
        <f t="shared" si="6"/>
        <v>0</v>
      </c>
      <c r="AG78" s="139"/>
      <c r="AH78" s="139"/>
    </row>
  </sheetData>
  <mergeCells count="24">
    <mergeCell ref="A62:J62"/>
    <mergeCell ref="A64:J64"/>
    <mergeCell ref="A74:AH74"/>
    <mergeCell ref="C75:C76"/>
    <mergeCell ref="D75:D76"/>
    <mergeCell ref="AG75:AH75"/>
    <mergeCell ref="A49:M49"/>
    <mergeCell ref="C51:C52"/>
    <mergeCell ref="D51:D52"/>
    <mergeCell ref="E51:E52"/>
    <mergeCell ref="F51:F52"/>
    <mergeCell ref="G51:H51"/>
    <mergeCell ref="I51:J51"/>
    <mergeCell ref="K51:L51"/>
    <mergeCell ref="M51:M52"/>
    <mergeCell ref="A2:M2"/>
    <mergeCell ref="C4:C5"/>
    <mergeCell ref="D4:D5"/>
    <mergeCell ref="E4:E5"/>
    <mergeCell ref="F4:F5"/>
    <mergeCell ref="G4:H4"/>
    <mergeCell ref="I4:J4"/>
    <mergeCell ref="K4:L4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ousmane</dc:creator>
  <cp:lastModifiedBy>ousmane</cp:lastModifiedBy>
  <dcterms:created xsi:type="dcterms:W3CDTF">2026-10-22T18:14:22Z</dcterms:created>
  <dcterms:modified xsi:type="dcterms:W3CDTF">2026-10-22T18:24:10Z</dcterms:modified>
</cp:coreProperties>
</file>